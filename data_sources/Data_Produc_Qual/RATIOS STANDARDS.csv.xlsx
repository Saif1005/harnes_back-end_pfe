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fa\Downloads\"/>
    </mc:Choice>
  </mc:AlternateContent>
  <xr:revisionPtr revIDLastSave="0" documentId="8_{7D247554-579F-4876-BCA7-1901AEB81B68}" xr6:coauthVersionLast="47" xr6:coauthVersionMax="47" xr10:uidLastSave="{00000000-0000-0000-0000-000000000000}"/>
  <bookViews>
    <workbookView xWindow="1848" yWindow="1848" windowWidth="17280" windowHeight="9960" xr2:uid="{3916325E-283B-46F2-8B11-F9AB1A1740BA}"/>
  </bookViews>
  <sheets>
    <sheet name="RATIOS STANDAR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E6" i="1"/>
  <c r="E7" i="1" s="1"/>
  <c r="I5" i="1"/>
  <c r="I4" i="1"/>
  <c r="C4" i="1"/>
  <c r="C5" i="1" s="1"/>
  <c r="F6" i="1" l="1"/>
  <c r="F7" i="1" l="1"/>
  <c r="G6" i="1"/>
  <c r="G7" i="1" l="1"/>
  <c r="H6" i="1"/>
  <c r="H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Sofiene MAHJOUB</author>
  </authors>
  <commentList>
    <comment ref="D6" authorId="0" shapeId="0" xr:uid="{875B6D71-B4CE-4C4A-8EA8-3187A870E51E}">
      <text>
        <r>
          <rPr>
            <b/>
            <sz val="9"/>
            <color indexed="81"/>
            <rFont val="Tahoma"/>
            <family val="2"/>
          </rPr>
          <t>Sofiene MAHJOUB:</t>
        </r>
        <r>
          <rPr>
            <sz val="9"/>
            <color indexed="81"/>
            <rFont val="Tahoma"/>
            <family val="2"/>
          </rPr>
          <t xml:space="preserve">
Ratio Maître</t>
        </r>
      </text>
    </comment>
  </commentList>
</comments>
</file>

<file path=xl/sharedStrings.xml><?xml version="1.0" encoding="utf-8"?>
<sst xmlns="http://schemas.openxmlformats.org/spreadsheetml/2006/main" count="33" uniqueCount="31">
  <si>
    <t xml:space="preserve">Budget Kg/T Production ratio </t>
  </si>
  <si>
    <t>PM2</t>
  </si>
  <si>
    <t>PM3</t>
  </si>
  <si>
    <t>Kraft</t>
  </si>
  <si>
    <t>Fluting</t>
  </si>
  <si>
    <t>Testliner</t>
  </si>
  <si>
    <t>Test coloré</t>
  </si>
  <si>
    <t>Sotikraft</t>
  </si>
  <si>
    <t>Kraft Export</t>
  </si>
  <si>
    <t>Pulp Ratio</t>
  </si>
  <si>
    <t>Standard Pulp ratio</t>
  </si>
  <si>
    <t xml:space="preserve">Flocon pulp ratio </t>
  </si>
  <si>
    <t xml:space="preserve">Fiber ratio </t>
  </si>
  <si>
    <t xml:space="preserve">waste paper Ratio </t>
  </si>
  <si>
    <t xml:space="preserve">Starch cationic ratio </t>
  </si>
  <si>
    <t>Starch oxidized ratio</t>
  </si>
  <si>
    <t>Dye ratio</t>
  </si>
  <si>
    <t>Wet end</t>
  </si>
  <si>
    <t>Size Press</t>
  </si>
  <si>
    <t>Biocide ratio</t>
  </si>
  <si>
    <t>defoamer ratio</t>
  </si>
  <si>
    <t>Defoamer 1 (afranil)</t>
  </si>
  <si>
    <t>Defoamer 2 (Erol)</t>
  </si>
  <si>
    <t>Retention aids ratio</t>
  </si>
  <si>
    <t>Krofta Polymer ratio</t>
  </si>
  <si>
    <t>Prestige cleaning aids Ratio (prestige)</t>
  </si>
  <si>
    <t>Sizing PPO</t>
  </si>
  <si>
    <t xml:space="preserve">Agent de collage </t>
  </si>
  <si>
    <t>PAC</t>
  </si>
  <si>
    <t xml:space="preserve">Sizing Kraft </t>
  </si>
  <si>
    <t>Agent collage 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</si>
</sst>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.000_-;\-* #,##0.00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2" fontId="3" fillId="0" borderId="3" xfId="0" applyNumberFormat="1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3" fillId="0" borderId="3" xfId="0" applyNumberFormat="1" applyFont="1" applyBorder="1" applyAlignment="1">
      <alignment horizontal="right" vertical="center"/>
    </xf>
    <xf numFmtId="164" fontId="2" fillId="0" borderId="3" xfId="1" applyNumberFormat="1" applyFont="1" applyBorder="1" applyAlignment="1">
      <alignment horizontal="left" vertical="center"/>
    </xf>
    <xf numFmtId="164" fontId="2" fillId="0" borderId="3" xfId="1" applyNumberFormat="1" applyFont="1" applyBorder="1" applyAlignment="1">
      <alignment vertical="center"/>
    </xf>
    <xf numFmtId="164" fontId="3" fillId="0" borderId="3" xfId="1" applyNumberFormat="1" applyFont="1" applyBorder="1" applyAlignment="1">
      <alignment horizontal="center" vertical="center"/>
    </xf>
    <xf numFmtId="164" fontId="3" fillId="2" borderId="3" xfId="1" applyNumberFormat="1" applyFont="1" applyFill="1" applyBorder="1" applyAlignment="1">
      <alignment horizontal="center" vertical="center"/>
    </xf>
    <xf numFmtId="164" fontId="3" fillId="0" borderId="3" xfId="1" applyNumberFormat="1" applyFont="1" applyBorder="1" applyAlignment="1">
      <alignment horizontal="right" vertical="center"/>
    </xf>
    <xf numFmtId="2" fontId="4" fillId="0" borderId="3" xfId="1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right" vertical="center"/>
    </xf>
    <xf numFmtId="2" fontId="3" fillId="0" borderId="3" xfId="0" applyNumberFormat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FA5F1DCE-F60C-4B6F-B495-CBA3C31A6CD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9649C-EB77-47AE-8850-C4413670D6C1}">
  <dimension ref="A1:I20"/>
  <sheetViews>
    <sheetView tabSelected="1" workbookViewId="0">
      <selection activeCell="E10" sqref="E10"/>
    </sheetView>
  </sheetViews>
  <sheetFormatPr defaultColWidth="11.5546875" defaultRowHeight="14.4" x14ac:dyDescent="0.3"/>
  <cols>
    <col min="1" max="1" width="32.44140625" bestFit="1" customWidth="1"/>
    <col min="2" max="2" width="17.5546875" bestFit="1" customWidth="1"/>
    <col min="3" max="5" width="6.6640625" bestFit="1" customWidth="1"/>
    <col min="6" max="6" width="8.109375" bestFit="1" customWidth="1"/>
    <col min="7" max="7" width="9.77734375" bestFit="1" customWidth="1"/>
    <col min="8" max="8" width="8" bestFit="1" customWidth="1"/>
    <col min="9" max="9" width="10.44140625" bestFit="1" customWidth="1"/>
  </cols>
  <sheetData>
    <row r="1" spans="1:9" x14ac:dyDescent="0.3">
      <c r="A1" s="18" t="s">
        <v>0</v>
      </c>
      <c r="B1" s="19"/>
      <c r="C1" s="20" t="s">
        <v>1</v>
      </c>
      <c r="D1" s="20"/>
      <c r="E1" s="20" t="s">
        <v>2</v>
      </c>
      <c r="F1" s="20"/>
      <c r="G1" s="20"/>
      <c r="H1" s="20"/>
      <c r="I1" s="1" t="s">
        <v>1</v>
      </c>
    </row>
    <row r="2" spans="1:9" x14ac:dyDescent="0.3">
      <c r="A2" s="2"/>
      <c r="B2" s="2"/>
      <c r="C2" s="1" t="s">
        <v>3</v>
      </c>
      <c r="D2" s="1" t="s">
        <v>4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3">
      <c r="A3" s="2" t="s">
        <v>9</v>
      </c>
      <c r="B3" s="2"/>
      <c r="C3" s="1">
        <v>0.82</v>
      </c>
      <c r="D3" s="1"/>
      <c r="E3" s="1"/>
      <c r="F3" s="1"/>
      <c r="G3" s="1"/>
      <c r="H3" s="1"/>
      <c r="I3" s="1"/>
    </row>
    <row r="4" spans="1:9" x14ac:dyDescent="0.3">
      <c r="A4" s="3" t="s">
        <v>10</v>
      </c>
      <c r="B4" s="4"/>
      <c r="C4" s="5">
        <f>C3*(1-33%)</f>
        <v>0.54939999999999989</v>
      </c>
      <c r="D4" s="6"/>
      <c r="E4" s="6"/>
      <c r="F4" s="6"/>
      <c r="G4" s="6"/>
      <c r="H4" s="6"/>
      <c r="I4" s="7">
        <f>0.6*1.1</f>
        <v>0.66</v>
      </c>
    </row>
    <row r="5" spans="1:9" x14ac:dyDescent="0.3">
      <c r="A5" s="3" t="s">
        <v>11</v>
      </c>
      <c r="B5" s="4"/>
      <c r="C5" s="5">
        <f>C3-C4</f>
        <v>0.27060000000000006</v>
      </c>
      <c r="D5" s="6"/>
      <c r="E5" s="6"/>
      <c r="F5" s="6"/>
      <c r="G5" s="6"/>
      <c r="H5" s="6"/>
      <c r="I5" s="7">
        <f>0.4*1.1</f>
        <v>0.44000000000000006</v>
      </c>
    </row>
    <row r="6" spans="1:9" x14ac:dyDescent="0.3">
      <c r="A6" s="8" t="s">
        <v>12</v>
      </c>
      <c r="B6" s="9"/>
      <c r="C6" s="10">
        <v>1.1000000000000001</v>
      </c>
      <c r="D6" s="11">
        <v>1.204</v>
      </c>
      <c r="E6" s="10">
        <f>D6</f>
        <v>1.204</v>
      </c>
      <c r="F6" s="10">
        <f t="shared" ref="F6:H6" si="0">E6</f>
        <v>1.204</v>
      </c>
      <c r="G6" s="10">
        <f t="shared" si="0"/>
        <v>1.204</v>
      </c>
      <c r="H6" s="10">
        <f t="shared" si="0"/>
        <v>1.204</v>
      </c>
      <c r="I6" s="12">
        <v>1.1000000000000001</v>
      </c>
    </row>
    <row r="7" spans="1:9" x14ac:dyDescent="0.3">
      <c r="A7" s="3" t="s">
        <v>13</v>
      </c>
      <c r="B7" s="4"/>
      <c r="C7" s="13">
        <v>0.28000000000000003</v>
      </c>
      <c r="D7" s="14">
        <f>D6</f>
        <v>1.204</v>
      </c>
      <c r="E7" s="14">
        <f>E6</f>
        <v>1.204</v>
      </c>
      <c r="F7" s="14">
        <f>F6</f>
        <v>1.204</v>
      </c>
      <c r="G7" s="14">
        <f>G6</f>
        <v>1.204</v>
      </c>
      <c r="H7" s="14">
        <f>H6</f>
        <v>1.204</v>
      </c>
      <c r="I7" s="15"/>
    </row>
    <row r="8" spans="1:9" x14ac:dyDescent="0.3">
      <c r="A8" s="3" t="s">
        <v>14</v>
      </c>
      <c r="B8" s="4"/>
      <c r="C8" s="5">
        <v>26</v>
      </c>
      <c r="D8" s="5">
        <v>15</v>
      </c>
      <c r="E8" s="5">
        <v>33</v>
      </c>
      <c r="F8" s="5">
        <v>33</v>
      </c>
      <c r="G8" s="5">
        <v>33</v>
      </c>
      <c r="H8" s="5">
        <v>12</v>
      </c>
      <c r="I8" s="5">
        <v>26</v>
      </c>
    </row>
    <row r="9" spans="1:9" x14ac:dyDescent="0.3">
      <c r="A9" s="3" t="s">
        <v>15</v>
      </c>
      <c r="B9" s="4"/>
      <c r="C9" s="5"/>
      <c r="D9" s="5">
        <v>50</v>
      </c>
      <c r="E9" s="5"/>
      <c r="F9" s="5"/>
      <c r="G9" s="5"/>
      <c r="H9" s="5">
        <v>100</v>
      </c>
      <c r="I9" s="5"/>
    </row>
    <row r="10" spans="1:9" x14ac:dyDescent="0.3">
      <c r="A10" s="21" t="s">
        <v>16</v>
      </c>
      <c r="B10" s="4" t="s">
        <v>17</v>
      </c>
      <c r="C10" s="5"/>
      <c r="D10" s="5"/>
      <c r="E10" s="5"/>
      <c r="F10" s="5"/>
      <c r="G10" s="5">
        <v>5.5</v>
      </c>
      <c r="H10" s="5">
        <v>7.5</v>
      </c>
      <c r="I10" s="5"/>
    </row>
    <row r="11" spans="1:9" x14ac:dyDescent="0.3">
      <c r="A11" s="22"/>
      <c r="B11" s="4" t="s">
        <v>18</v>
      </c>
      <c r="C11" s="5"/>
      <c r="D11" s="5"/>
      <c r="E11" s="5"/>
      <c r="F11" s="5"/>
      <c r="G11" s="5">
        <v>14</v>
      </c>
      <c r="H11" s="5"/>
      <c r="I11" s="5"/>
    </row>
    <row r="12" spans="1:9" x14ac:dyDescent="0.3">
      <c r="A12" s="3" t="s">
        <v>19</v>
      </c>
      <c r="B12" s="4"/>
      <c r="C12" s="5">
        <v>0.15</v>
      </c>
      <c r="D12" s="5">
        <v>0.15</v>
      </c>
      <c r="E12" s="5">
        <v>0.15</v>
      </c>
      <c r="F12" s="5">
        <v>0.15</v>
      </c>
      <c r="G12" s="5">
        <v>0.15</v>
      </c>
      <c r="H12" s="5">
        <v>0.15</v>
      </c>
      <c r="I12" s="5">
        <v>0.15</v>
      </c>
    </row>
    <row r="13" spans="1:9" x14ac:dyDescent="0.3">
      <c r="A13" s="21" t="s">
        <v>20</v>
      </c>
      <c r="B13" s="4" t="s">
        <v>21</v>
      </c>
      <c r="C13" s="5">
        <v>1.5</v>
      </c>
      <c r="D13" s="5">
        <v>1.2</v>
      </c>
      <c r="E13" s="5">
        <v>0.5</v>
      </c>
      <c r="F13" s="5">
        <v>0.5</v>
      </c>
      <c r="G13" s="5">
        <v>0.5</v>
      </c>
      <c r="H13" s="5">
        <v>0.5</v>
      </c>
      <c r="I13" s="5">
        <v>1.5</v>
      </c>
    </row>
    <row r="14" spans="1:9" x14ac:dyDescent="0.3">
      <c r="A14" s="22"/>
      <c r="B14" s="4" t="s">
        <v>22</v>
      </c>
      <c r="C14" s="5"/>
      <c r="D14" s="5"/>
      <c r="E14" s="5">
        <v>1.5</v>
      </c>
      <c r="F14" s="5">
        <v>1.5</v>
      </c>
      <c r="G14" s="5">
        <v>1.5</v>
      </c>
      <c r="H14" s="5">
        <v>1.5</v>
      </c>
      <c r="I14" s="5"/>
    </row>
    <row r="15" spans="1:9" x14ac:dyDescent="0.3">
      <c r="A15" s="3" t="s">
        <v>23</v>
      </c>
      <c r="B15" s="4"/>
      <c r="C15" s="5">
        <v>0.27</v>
      </c>
      <c r="D15" s="5">
        <v>0.37</v>
      </c>
      <c r="E15" s="5">
        <v>0.37</v>
      </c>
      <c r="F15" s="5">
        <v>0.37</v>
      </c>
      <c r="G15" s="5">
        <v>0.37</v>
      </c>
      <c r="H15" s="5">
        <v>0.37</v>
      </c>
      <c r="I15" s="5">
        <v>0.27</v>
      </c>
    </row>
    <row r="16" spans="1:9" x14ac:dyDescent="0.3">
      <c r="A16" s="3" t="s">
        <v>24</v>
      </c>
      <c r="B16" s="4"/>
      <c r="C16" s="5">
        <v>0.25</v>
      </c>
      <c r="D16" s="5">
        <v>0.35</v>
      </c>
      <c r="E16" s="5">
        <v>0.37</v>
      </c>
      <c r="F16" s="5">
        <v>0.37</v>
      </c>
      <c r="G16" s="5">
        <v>0.37</v>
      </c>
      <c r="H16" s="5">
        <v>0.37</v>
      </c>
      <c r="I16" s="5">
        <v>0.25</v>
      </c>
    </row>
    <row r="17" spans="1:9" x14ac:dyDescent="0.3">
      <c r="A17" s="3" t="s">
        <v>25</v>
      </c>
      <c r="B17" s="4"/>
      <c r="C17" s="5">
        <v>0.4</v>
      </c>
      <c r="D17" s="5">
        <v>0.5</v>
      </c>
      <c r="E17" s="16"/>
      <c r="F17" s="16"/>
      <c r="G17" s="16"/>
      <c r="H17" s="16"/>
      <c r="I17" s="5">
        <v>0.4</v>
      </c>
    </row>
    <row r="18" spans="1:9" x14ac:dyDescent="0.3">
      <c r="A18" s="21" t="s">
        <v>26</v>
      </c>
      <c r="B18" s="17" t="s">
        <v>27</v>
      </c>
      <c r="C18" s="5"/>
      <c r="D18" s="5"/>
      <c r="E18" s="5"/>
      <c r="F18" s="5">
        <v>3.5</v>
      </c>
      <c r="G18" s="5">
        <v>3.5</v>
      </c>
      <c r="H18" s="5">
        <v>3.5</v>
      </c>
      <c r="I18" s="5"/>
    </row>
    <row r="19" spans="1:9" x14ac:dyDescent="0.3">
      <c r="A19" s="22"/>
      <c r="B19" s="17" t="s">
        <v>28</v>
      </c>
      <c r="C19" s="5"/>
      <c r="D19" s="16"/>
      <c r="E19" s="16"/>
      <c r="F19" s="5">
        <v>3.5</v>
      </c>
      <c r="G19" s="5">
        <v>3.5</v>
      </c>
      <c r="H19" s="5">
        <v>3.5</v>
      </c>
      <c r="I19" s="5"/>
    </row>
    <row r="20" spans="1:9" x14ac:dyDescent="0.3">
      <c r="A20" s="3" t="s">
        <v>29</v>
      </c>
      <c r="B20" s="17" t="s">
        <v>30</v>
      </c>
      <c r="C20" s="5">
        <v>3.2</v>
      </c>
      <c r="D20" s="16"/>
      <c r="E20" s="16"/>
      <c r="F20" s="16"/>
      <c r="G20" s="16"/>
      <c r="H20" s="16"/>
      <c r="I20" s="5">
        <v>3.2</v>
      </c>
    </row>
  </sheetData>
  <mergeCells count="6">
    <mergeCell ref="A18:A19"/>
    <mergeCell ref="A1:B1"/>
    <mergeCell ref="C1:D1"/>
    <mergeCell ref="E1:H1"/>
    <mergeCell ref="A10:A11"/>
    <mergeCell ref="A13:A1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STANDARDS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Sofiene MAHJOUB</dc:creator>
  <cp:lastModifiedBy>akkarisaif</cp:lastModifiedBy>
  <dcterms:created xsi:type="dcterms:W3CDTF">2026-03-09T19:29:51Z</dcterms:created>
  <dcterms:modified xsi:type="dcterms:W3CDTF">2026-03-10T15:20:47Z</dcterms:modified>
</cp:coreProperties>
</file>